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Play" sheetId="1" state="visible" r:id="rId3"/>
    <sheet name="Setup" sheetId="2" state="visible" r:id="rId4"/>
    <sheet name="Simulation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<sst xmlns="http://schemas.openxmlformats.org/spreadsheetml/2006/main" count="105" uniqueCount="85">
  <si>
    <t xml:space="preserve">HOW TO PLAY — FUEL MARKET SQUEEZE</t>
  </si>
  <si>
    <t xml:space="preserve">WHAT THIS IS</t>
  </si>
  <si>
    <t xml:space="preserve">A hand-played model of your galactic fuel market. You make the decisions for all five guilds, turn by</t>
  </si>
  <si>
    <t xml:space="preserve">turn, on the Simulation sheet. The sheet computes the price and the consequences. The goal of Phase 0</t>
  </si>
  <si>
    <t xml:space="preserve">is NOT to build the game — it is to find out whether the fuel economy is TENSE and FUN before you write</t>
  </si>
  <si>
    <t xml:space="preserve">any real code.</t>
  </si>
  <si>
    <t xml:space="preserve">THE FIVE GUILDS (archetypes from your design doc)</t>
  </si>
  <si>
    <t xml:space="preserve">  Refinery Combine  — Refiner.  Produces lots of fuel, wants it flowing, profits from processing.</t>
  </si>
  <si>
    <t xml:space="preserve">  Vantar Trust      — Stockpiler.  Buys fuel up and HOLDS it to create scarcity, then dumps at high prices.</t>
  </si>
  <si>
    <t xml:space="preserve">  Orun Compact      — Trader.  Buys low, sells high, profits from movement.</t>
  </si>
  <si>
    <t xml:space="preserve">  Dracis Concern    — Manufacturer.  Thirsty factories (needs 12/turn). The guild that SUFFERS in a squeeze.</t>
  </si>
  <si>
    <t xml:space="preserve">  Ilyra Holdings    — Small guild.  Low needs, thin wallet. Your 'survival floor' test case.</t>
  </si>
  <si>
    <t xml:space="preserve">EACH TURN, FOR EACH GUILD, YOU SET THREE YELLOW CELLS</t>
  </si>
  <si>
    <t xml:space="preserve">  Produce  — fresh fuel the guild extracts and puts on the market (keep it under its capacity on Setup).</t>
  </si>
  <si>
    <t xml:space="preserve">  Buy      — fuel the guild buys from the market this turn (costs credits at the current price).</t>
  </si>
  <si>
    <t xml:space="preserve">  Sell     — fuel the guild dumps FROM ITS HOARD back onto the market (only if it has hoard to sell).</t>
  </si>
  <si>
    <t xml:space="preserve">HOW THE MARKET WORKS</t>
  </si>
  <si>
    <t xml:space="preserve">  Price is driven by RESERVES: when the starting stockpile is at target (30) the price sits at base ($5).</t>
  </si>
  <si>
    <t xml:space="preserve">  As reserves fall, price climbs (up to a ceiling); when reserves are plentiful, price falls (down to a floor).</t>
  </si>
  <si>
    <t xml:space="preserve">  Every guild earns a flat $100/turn of purchasing power. Because that $100 is FIXED, a higher price</t>
  </si>
  <si>
    <t xml:space="preserve">  automatically buys less fuel — so scarcity is felt by everyone without any manual rationing.</t>
  </si>
  <si>
    <t xml:space="preserve">THE PRE-LOADED SCENARIO: A DELIBERATE SQUEEZE</t>
  </si>
  <si>
    <t xml:space="preserve">  Turns 1-3  — calm. Supply meets demand, price ~$5, everyone gets what they need.</t>
  </si>
  <si>
    <t xml:space="preserve">  Turns 4-5  — Vantar starts buying far more than it needs, draining the reserves.</t>
  </si>
  <si>
    <t xml:space="preserve">  Turns 6-7  — price spikes toward the ceiling. Watch Dracis (the manufacturer) fall into SHORTFALL (red).</t>
  </si>
  <si>
    <t xml:space="preserve">  Turn 8     — Vantar DUMPS its hoard into the high price — see its Credits jump. 'Profit twice.'</t>
  </si>
  <si>
    <t xml:space="preserve">  Turns 9-12 — the market recovers.</t>
  </si>
  <si>
    <t xml:space="preserve">WHAT TO LOOK FOR (this is the actual Phase 0 test)</t>
  </si>
  <si>
    <t xml:space="preserve">  1. Does the squeeze feel like a STORY when you watch the numbers move? If yes, the core loop has drama.</t>
  </si>
  <si>
    <t xml:space="preserve">  2. Is it PROFITABLE for Vantar to do this? Check its Credits on turn 8 vs a guild that just behaved.</t>
  </si>
  <si>
    <t xml:space="preserve">  3. Does Dracis get hurt but SURVIVE, or get wiped out? That tells you if you need a 'survival floor'.</t>
  </si>
  <si>
    <t xml:space="preserve">  4. Now FIGHT BACK: change the other guilds' inputs from turn 4 on. Can the Refiner out-produce the squeeze?</t>
  </si>
  <si>
    <t xml:space="preserve">     Can the small guilds pool their buying? If there is NO counter-play, the design needs one.</t>
  </si>
  <si>
    <t xml:space="preserve">TRY YOUR OWN EXPERIMENTS</t>
  </si>
  <si>
    <t xml:space="preserve">  • Change a Setup lever (target reserve, price sensitivity) and replay — does the market get more or less swingy?</t>
  </si>
  <si>
    <t xml:space="preserve">  • Give Vantar a bigger starting war-chest and see how long a squeeze it can fund.</t>
  </si>
  <si>
    <t xml:space="preserve">  • Overwrite everything from turn 1 and play your own story.</t>
  </si>
  <si>
    <t xml:space="preserve">  • Watch the 'Over-demand?' row — if it says OVER, players tried to buy fuel that doesn't exist; reduce a Buy.</t>
  </si>
  <si>
    <t xml:space="preserve">FUEL MARKET SIMULATOR — SETUP &amp; LEVERS</t>
  </si>
  <si>
    <t xml:space="preserve">Blue numbers are levers you can change. Everything on the Simulation sheet recalculates from these.</t>
  </si>
  <si>
    <t xml:space="preserve">Base price ($/unit at equilibrium)</t>
  </si>
  <si>
    <t xml:space="preserve">Target reserve (equilibrium stockpile)</t>
  </si>
  <si>
    <t xml:space="preserve">Price sensitivity (exponent)</t>
  </si>
  <si>
    <t xml:space="preserve">Price floor ($)</t>
  </si>
  <si>
    <t xml:space="preserve">Price ceiling ($)</t>
  </si>
  <si>
    <t xml:space="preserve">Income per guild per turn ($)</t>
  </si>
  <si>
    <t xml:space="preserve">Starting market stockpile</t>
  </si>
  <si>
    <t xml:space="preserve">Guild</t>
  </si>
  <si>
    <t xml:space="preserve">Archetype</t>
  </si>
  <si>
    <t xml:space="preserve">Fuel need/turn</t>
  </si>
  <si>
    <t xml:space="preserve">Production capacity</t>
  </si>
  <si>
    <t xml:space="preserve">Starting credits ($)</t>
  </si>
  <si>
    <t xml:space="preserve">Starting hoard</t>
  </si>
  <si>
    <t xml:space="preserve">Refinery Combine</t>
  </si>
  <si>
    <t xml:space="preserve">Refiner</t>
  </si>
  <si>
    <t xml:space="preserve">Vantar Trust</t>
  </si>
  <si>
    <t xml:space="preserve">Stockpiler</t>
  </si>
  <si>
    <t xml:space="preserve">Orun Compact</t>
  </si>
  <si>
    <t xml:space="preserve">Trader</t>
  </si>
  <si>
    <t xml:space="preserve">Dracis Concern</t>
  </si>
  <si>
    <t xml:space="preserve">Manufacturer</t>
  </si>
  <si>
    <t xml:space="preserve">Ilyra Holdings</t>
  </si>
  <si>
    <t xml:space="preserve">Small guild</t>
  </si>
  <si>
    <t xml:space="preserve">FUEL MARKET SIMULATOR — HAND-PLAYED</t>
  </si>
  <si>
    <t xml:space="preserve">Yellow cells are your decisions each turn (Produce / Buy / Sell). Watch the PRICE row and the SHORTFALL rows.</t>
  </si>
  <si>
    <t xml:space="preserve">TURN →</t>
  </si>
  <si>
    <t xml:space="preserve">Stockpile — start</t>
  </si>
  <si>
    <t xml:space="preserve">   Fuel to market  (Σ produce + sell)</t>
  </si>
  <si>
    <t xml:space="preserve">   Available fuel</t>
  </si>
  <si>
    <t xml:space="preserve">PRICE  ($ / unit)</t>
  </si>
  <si>
    <t xml:space="preserve">   Total bought  (Σ buy)</t>
  </si>
  <si>
    <t xml:space="preserve">Stockpile — end</t>
  </si>
  <si>
    <t xml:space="preserve">   Over-demand?  (buy &gt; available)</t>
  </si>
  <si>
    <t xml:space="preserve">Refinery Combine — Produce</t>
  </si>
  <si>
    <t xml:space="preserve">      — Buy</t>
  </si>
  <si>
    <t xml:space="preserve">      — Sell (from hoard)</t>
  </si>
  <si>
    <t xml:space="preserve">      — Credits ($)</t>
  </si>
  <si>
    <t xml:space="preserve">      — Hoard</t>
  </si>
  <si>
    <t xml:space="preserve">      — Shortfall</t>
  </si>
  <si>
    <t xml:space="preserve">Vantar Trust — Produce</t>
  </si>
  <si>
    <t xml:space="preserve">Orun Compact — Produce</t>
  </si>
  <si>
    <t xml:space="preserve">Dracis Concern — Produce</t>
  </si>
  <si>
    <t xml:space="preserve">Ilyra Holdings — Produce</t>
  </si>
  <si>
    <t xml:space="preserve">DASHBOARD</t>
  </si>
  <si>
    <t xml:space="preserve">Charts read live from the Simulation sheet. Change inputs there and these update on recalculation.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</si>
</sst>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"/>
    <numFmt numFmtId="167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C6B8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9C4A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6CC"/>
        <bgColor rgb="FFFBF0E6"/>
      </patternFill>
    </fill>
    <fill>
      <patternFill patternType="solid">
        <fgColor rgb="FF1F3864"/>
        <bgColor rgb="FF333333"/>
      </patternFill>
    </fill>
    <fill>
      <patternFill patternType="solid">
        <fgColor rgb="FFE8EDF5"/>
        <bgColor rgb="FFEAF0FA"/>
      </patternFill>
    </fill>
    <fill>
      <patternFill patternType="solid">
        <fgColor rgb="FFFCE4C7"/>
        <bgColor rgb="FFFDECEA"/>
      </patternFill>
    </fill>
    <fill>
      <patternFill patternType="solid">
        <fgColor rgb="FFFDECEA"/>
        <bgColor rgb="FFFBF0E6"/>
      </patternFill>
    </fill>
    <fill>
      <patternFill patternType="solid">
        <fgColor rgb="FFEAF4EA"/>
        <bgColor rgb="FFEAF0FA"/>
      </patternFill>
    </fill>
    <fill>
      <patternFill patternType="solid">
        <fgColor rgb="FFEAF0FA"/>
        <bgColor rgb="FFE8EDF5"/>
      </patternFill>
    </fill>
    <fill>
      <patternFill patternType="solid">
        <fgColor rgb="FFFBF0E6"/>
        <bgColor rgb="FFFDECEA"/>
      </patternFill>
    </fill>
    <fill>
      <patternFill patternType="solid">
        <fgColor rgb="FFF0ECF7"/>
        <bgColor rgb="FFE8E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0E6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CB7B6"/>
      <rgbColor rgb="FF878787"/>
      <rgbColor rgb="FF9999FF"/>
      <rgbColor rgb="FF903836"/>
      <rgbColor rgb="FFFFF6CC"/>
      <rgbColor rgb="FFEAF4EA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E8EDF5"/>
      <rgbColor rgb="FFFCE4C7"/>
      <rgbColor rgb="FFD9D9D9"/>
      <rgbColor rgb="FFFDECEA"/>
      <rgbColor rgb="FFF0ECF7"/>
      <rgbColor rgb="FFF4C7C3"/>
      <rgbColor rgb="FF3366FF"/>
      <rgbColor rgb="FF33CCCC"/>
      <rgbColor rgb="FF99CC00"/>
      <rgbColor rgb="FFFFCC00"/>
      <rgbColor rgb="FFFF9900"/>
      <rgbColor rgb="FFBE4B48"/>
      <rgbColor rgb="FF5C6B85"/>
      <rgbColor rgb="FFCC8F8E"/>
      <rgbColor rgb="FF1F3864"/>
      <rgbColor rgb="FF339966"/>
      <rgbColor rgb="FF003300"/>
      <rgbColor rgb="FF333300"/>
      <rgbColor rgb="FF9C4A00"/>
      <rgbColor rgb="FFAA433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Fuel price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c4a00"/>
            </a:solidFill>
            <a:ln w="28080">
              <a:solidFill>
                <a:srgbClr val="9c4a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Simulation!$B$7:$M$7</c:f>
              <c:numCache>
                <c:formatCode>\$#,##0.0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7.03029265919242</c:v>
                </c:pt>
                <c:pt idx="5">
                  <c:v>16.7496895665571</c:v>
                </c:pt>
                <c:pt idx="6">
                  <c:v>38.4806817036304</c:v>
                </c:pt>
                <c:pt idx="7">
                  <c:v>16.7496895665571</c:v>
                </c:pt>
                <c:pt idx="8">
                  <c:v>5.10274608796543</c:v>
                </c:pt>
                <c:pt idx="9">
                  <c:v>5.10274608796543</c:v>
                </c:pt>
                <c:pt idx="10">
                  <c:v>5.10274608796543</c:v>
                </c:pt>
                <c:pt idx="11">
                  <c:v>5.10274608796543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014015"/>
        <c:axId val="12362338"/>
      </c:lineChart>
      <c:catAx>
        <c:axId val="190140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62338"/>
        <c:crosses val="autoZero"/>
        <c:auto val="1"/>
        <c:lblAlgn val="ctr"/>
        <c:lblOffset val="100"/>
        <c:noMultiLvlLbl val="0"/>
      </c:catAx>
      <c:valAx>
        <c:axId val="12362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14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Fuel shortfall by guild (unmet need)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Simulation!$B$17:$M$17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Simulation!$B$24:$M$24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Simulation!$B$31:$M$31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Simulation!$B$38:$M$38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Simulation!$B$45:$M$45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833437"/>
        <c:axId val="40640365"/>
      </c:lineChart>
      <c:catAx>
        <c:axId val="29833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0365"/>
        <c:crosses val="autoZero"/>
        <c:auto val="1"/>
        <c:lblAlgn val="ctr"/>
        <c:lblOffset val="100"/>
        <c:noMultiLvlLbl val="0"/>
      </c:catAx>
      <c:valAx>
        <c:axId val="40640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short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33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Credits: Vantar (stockpiler) vs Dracis (manufacturer)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Simulation!$B$22:$M$22</c:f>
              <c:numCache>
                <c:formatCode>\$#,##0</c:formatCode>
                <c:ptCount val="12"/>
                <c:pt idx="0">
                  <c:v>325</c:v>
                </c:pt>
                <c:pt idx="1">
                  <c:v>400</c:v>
                </c:pt>
                <c:pt idx="2">
                  <c:v>475</c:v>
                </c:pt>
                <c:pt idx="3">
                  <c:v>485</c:v>
                </c:pt>
                <c:pt idx="4">
                  <c:v>458.454732134536</c:v>
                </c:pt>
                <c:pt idx="5">
                  <c:v>357.458457335851</c:v>
                </c:pt>
                <c:pt idx="6">
                  <c:v>149.613003706808</c:v>
                </c:pt>
                <c:pt idx="7">
                  <c:v>551.107415904836</c:v>
                </c:pt>
                <c:pt idx="8">
                  <c:v>625.593685465009</c:v>
                </c:pt>
                <c:pt idx="9">
                  <c:v>700.079955025182</c:v>
                </c:pt>
                <c:pt idx="10">
                  <c:v>774.566224585355</c:v>
                </c:pt>
                <c:pt idx="11">
                  <c:v>849.052494145528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Simulation!$B$3:$M$3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Simulation!$B$36:$M$36</c:f>
              <c:numCache>
                <c:formatCode>\$#,##0</c:formatCode>
                <c:ptCount val="12"/>
                <c:pt idx="0">
                  <c:v>165</c:v>
                </c:pt>
                <c:pt idx="1">
                  <c:v>230</c:v>
                </c:pt>
                <c:pt idx="2">
                  <c:v>295</c:v>
                </c:pt>
                <c:pt idx="3">
                  <c:v>360</c:v>
                </c:pt>
                <c:pt idx="4">
                  <c:v>410.787951385653</c:v>
                </c:pt>
                <c:pt idx="5">
                  <c:v>494.038261819096</c:v>
                </c:pt>
                <c:pt idx="6">
                  <c:v>594.038261819096</c:v>
                </c:pt>
                <c:pt idx="7">
                  <c:v>610.28981398631</c:v>
                </c:pt>
                <c:pt idx="8">
                  <c:v>674.570591370552</c:v>
                </c:pt>
                <c:pt idx="9">
                  <c:v>738.851368754794</c:v>
                </c:pt>
                <c:pt idx="10">
                  <c:v>803.132146139036</c:v>
                </c:pt>
                <c:pt idx="11">
                  <c:v>867.412923523278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706758"/>
        <c:axId val="4246734"/>
      </c:lineChart>
      <c:catAx>
        <c:axId val="187067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6734"/>
        <c:crosses val="autoZero"/>
        <c:auto val="1"/>
        <c:lblAlgn val="ctr"/>
        <c:lblOffset val="100"/>
        <c:noMultiLvlLbl val="0"/>
      </c:catAx>
      <c:valAx>
        <c:axId val="4246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06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9</xdr:col>
      <xdr:colOff>381600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0" y="380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9</xdr:col>
      <xdr:colOff>381600</xdr:colOff>
      <xdr:row>31</xdr:row>
      <xdr:rowOff>163440</xdr:rowOff>
    </xdr:to>
    <xdr:graphicFrame>
      <xdr:nvGraphicFramePr>
        <xdr:cNvPr id="1" name="Chart 2"/>
        <xdr:cNvGraphicFramePr/>
      </xdr:nvGraphicFramePr>
      <xdr:xfrm>
        <a:off x="0" y="34290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9</xdr:col>
      <xdr:colOff>381600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0" y="6477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2" t="s">
        <v>35</v>
      </c>
    </row>
    <row r="44" customFormat="false" ht="15" hidden="false" customHeight="false" outlineLevel="0" collapsed="false">
      <c r="A44" s="2" t="s">
        <v>36</v>
      </c>
    </row>
    <row r="45" customFormat="false" ht="15" hidden="false" customHeight="false" outlineLevel="0" collapsed="false">
      <c r="A45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7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4" t="s">
        <v>39</v>
      </c>
    </row>
    <row r="3" customFormat="false" ht="15" hidden="false" customHeight="false" outlineLevel="0" collapsed="false">
      <c r="A3" s="5" t="s">
        <v>40</v>
      </c>
      <c r="B3" s="6" t="n">
        <v>5</v>
      </c>
    </row>
    <row r="4" customFormat="false" ht="15" hidden="false" customHeight="false" outlineLevel="0" collapsed="false">
      <c r="A4" s="5" t="s">
        <v>41</v>
      </c>
      <c r="B4" s="6" t="n">
        <v>30</v>
      </c>
    </row>
    <row r="5" customFormat="false" ht="15" hidden="false" customHeight="false" outlineLevel="0" collapsed="false">
      <c r="A5" s="5" t="s">
        <v>42</v>
      </c>
      <c r="B5" s="6" t="n">
        <v>0.6</v>
      </c>
    </row>
    <row r="6" customFormat="false" ht="15" hidden="false" customHeight="false" outlineLevel="0" collapsed="false">
      <c r="A6" s="5" t="s">
        <v>43</v>
      </c>
      <c r="B6" s="6" t="n">
        <v>2</v>
      </c>
    </row>
    <row r="7" customFormat="false" ht="15" hidden="false" customHeight="false" outlineLevel="0" collapsed="false">
      <c r="A7" s="5" t="s">
        <v>44</v>
      </c>
      <c r="B7" s="6" t="n">
        <v>40</v>
      </c>
    </row>
    <row r="8" customFormat="false" ht="15" hidden="false" customHeight="false" outlineLevel="0" collapsed="false">
      <c r="A8" s="5" t="s">
        <v>45</v>
      </c>
      <c r="B8" s="6" t="n">
        <v>100</v>
      </c>
    </row>
    <row r="9" customFormat="false" ht="15" hidden="false" customHeight="false" outlineLevel="0" collapsed="false">
      <c r="A9" s="5" t="s">
        <v>46</v>
      </c>
      <c r="B9" s="6" t="n">
        <v>30</v>
      </c>
    </row>
    <row r="11" customFormat="false" ht="15" hidden="false" customHeight="false" outlineLevel="0" collapsed="false">
      <c r="A11" s="7" t="s">
        <v>47</v>
      </c>
      <c r="B11" s="7" t="s">
        <v>48</v>
      </c>
      <c r="C11" s="7" t="s">
        <v>49</v>
      </c>
      <c r="D11" s="7" t="s">
        <v>50</v>
      </c>
      <c r="E11" s="7" t="s">
        <v>51</v>
      </c>
      <c r="F11" s="7" t="s">
        <v>52</v>
      </c>
    </row>
    <row r="12" customFormat="false" ht="15" hidden="false" customHeight="false" outlineLevel="0" collapsed="false">
      <c r="A12" s="8" t="s">
        <v>53</v>
      </c>
      <c r="B12" s="8" t="s">
        <v>54</v>
      </c>
      <c r="C12" s="6" t="n">
        <v>8</v>
      </c>
      <c r="D12" s="6" t="n">
        <v>40</v>
      </c>
      <c r="E12" s="6" t="n">
        <v>120</v>
      </c>
      <c r="F12" s="6" t="n">
        <v>0</v>
      </c>
    </row>
    <row r="13" customFormat="false" ht="15" hidden="false" customHeight="false" outlineLevel="0" collapsed="false">
      <c r="A13" s="8" t="s">
        <v>55</v>
      </c>
      <c r="B13" s="8" t="s">
        <v>56</v>
      </c>
      <c r="C13" s="6" t="n">
        <v>5</v>
      </c>
      <c r="D13" s="6" t="n">
        <v>6</v>
      </c>
      <c r="E13" s="6" t="n">
        <v>250</v>
      </c>
      <c r="F13" s="6" t="n">
        <v>0</v>
      </c>
    </row>
    <row r="14" customFormat="false" ht="15" hidden="false" customHeight="false" outlineLevel="0" collapsed="false">
      <c r="A14" s="8" t="s">
        <v>57</v>
      </c>
      <c r="B14" s="8" t="s">
        <v>58</v>
      </c>
      <c r="C14" s="6" t="n">
        <v>4</v>
      </c>
      <c r="D14" s="6" t="n">
        <v>4</v>
      </c>
      <c r="E14" s="6" t="n">
        <v>120</v>
      </c>
      <c r="F14" s="6" t="n">
        <v>0</v>
      </c>
    </row>
    <row r="15" customFormat="false" ht="15" hidden="false" customHeight="false" outlineLevel="0" collapsed="false">
      <c r="A15" s="8" t="s">
        <v>59</v>
      </c>
      <c r="B15" s="8" t="s">
        <v>60</v>
      </c>
      <c r="C15" s="6" t="n">
        <v>12</v>
      </c>
      <c r="D15" s="6" t="n">
        <v>8</v>
      </c>
      <c r="E15" s="6" t="n">
        <v>100</v>
      </c>
      <c r="F15" s="6" t="n">
        <v>0</v>
      </c>
    </row>
    <row r="16" customFormat="false" ht="15" hidden="false" customHeight="false" outlineLevel="0" collapsed="false">
      <c r="A16" s="8" t="s">
        <v>61</v>
      </c>
      <c r="B16" s="8" t="s">
        <v>62</v>
      </c>
      <c r="C16" s="6" t="n">
        <v>3</v>
      </c>
      <c r="D16" s="6" t="n">
        <v>3</v>
      </c>
      <c r="E16" s="6" t="n">
        <v>60</v>
      </c>
      <c r="F16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8.5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4" t="s">
        <v>64</v>
      </c>
    </row>
    <row r="3" customFormat="false" ht="15" hidden="false" customHeight="false" outlineLevel="0" collapsed="false">
      <c r="A3" s="5" t="s">
        <v>65</v>
      </c>
      <c r="B3" s="7" t="n">
        <v>1</v>
      </c>
      <c r="C3" s="7" t="n">
        <v>2</v>
      </c>
      <c r="D3" s="7" t="n">
        <v>3</v>
      </c>
      <c r="E3" s="7" t="n">
        <v>4</v>
      </c>
      <c r="F3" s="7" t="n">
        <v>5</v>
      </c>
      <c r="G3" s="7" t="n">
        <v>6</v>
      </c>
      <c r="H3" s="7" t="n">
        <v>7</v>
      </c>
      <c r="I3" s="7" t="n">
        <v>8</v>
      </c>
      <c r="J3" s="7" t="n">
        <v>9</v>
      </c>
      <c r="K3" s="7" t="n">
        <v>10</v>
      </c>
      <c r="L3" s="7" t="n">
        <v>11</v>
      </c>
      <c r="M3" s="7" t="n">
        <v>12</v>
      </c>
    </row>
    <row r="4" customFormat="false" ht="15" hidden="false" customHeight="false" outlineLevel="0" collapsed="false">
      <c r="A4" s="9" t="s">
        <v>66</v>
      </c>
      <c r="B4" s="10" t="n">
        <f aca="false">Setup!$B$9</f>
        <v>30</v>
      </c>
      <c r="C4" s="10" t="n">
        <f aca="false">B9</f>
        <v>30</v>
      </c>
      <c r="D4" s="10" t="n">
        <f aca="false">C9</f>
        <v>30</v>
      </c>
      <c r="E4" s="10" t="n">
        <f aca="false">D9</f>
        <v>30</v>
      </c>
      <c r="F4" s="10" t="n">
        <f aca="false">E9</f>
        <v>17</v>
      </c>
      <c r="G4" s="10" t="n">
        <f aca="false">F9</f>
        <v>4</v>
      </c>
      <c r="H4" s="10" t="n">
        <f aca="false">G9</f>
        <v>1</v>
      </c>
      <c r="I4" s="10" t="n">
        <f aca="false">H9</f>
        <v>4</v>
      </c>
      <c r="J4" s="10" t="n">
        <f aca="false">I9</f>
        <v>29</v>
      </c>
      <c r="K4" s="10" t="n">
        <f aca="false">J9</f>
        <v>29</v>
      </c>
      <c r="L4" s="10" t="n">
        <f aca="false">K9</f>
        <v>29</v>
      </c>
      <c r="M4" s="10" t="n">
        <f aca="false">L9</f>
        <v>29</v>
      </c>
    </row>
    <row r="5" customFormat="false" ht="15" hidden="false" customHeight="false" outlineLevel="0" collapsed="false">
      <c r="A5" s="9" t="s">
        <v>67</v>
      </c>
      <c r="B5" s="10" t="n">
        <f aca="false">B12+B14+B19+B21+B26+B28+B33+B35+B40+B42</f>
        <v>32</v>
      </c>
      <c r="C5" s="10" t="n">
        <f aca="false">C12+C14+C19+C21+C26+C28+C33+C35+C40+C42</f>
        <v>32</v>
      </c>
      <c r="D5" s="10" t="n">
        <f aca="false">D12+D14+D19+D21+D26+D28+D33+D35+D40+D42</f>
        <v>32</v>
      </c>
      <c r="E5" s="10" t="n">
        <f aca="false">E12+E14+E19+E21+E26+E28+E33+E35+E40+E42</f>
        <v>32</v>
      </c>
      <c r="F5" s="10" t="n">
        <f aca="false">F12+F14+F19+F21+F26+F28+F33+F35+F40+F42</f>
        <v>32</v>
      </c>
      <c r="G5" s="10" t="n">
        <f aca="false">G12+G14+G19+G21+G26+G28+G33+G35+G40+G42</f>
        <v>32</v>
      </c>
      <c r="H5" s="10" t="n">
        <f aca="false">H12+H14+H19+H21+H26+H28+H33+H35+H40+H42</f>
        <v>32</v>
      </c>
      <c r="I5" s="10" t="n">
        <f aca="false">I12+I14+I19+I21+I26+I28+I33+I35+I40+I42</f>
        <v>50</v>
      </c>
      <c r="J5" s="10" t="n">
        <f aca="false">J12+J14+J19+J21+J26+J28+J33+J35+J40+J42</f>
        <v>32</v>
      </c>
      <c r="K5" s="10" t="n">
        <f aca="false">K12+K14+K19+K21+K26+K28+K33+K35+K40+K42</f>
        <v>32</v>
      </c>
      <c r="L5" s="10" t="n">
        <f aca="false">L12+L14+L19+L21+L26+L28+L33+L35+L40+L42</f>
        <v>32</v>
      </c>
      <c r="M5" s="10" t="n">
        <f aca="false">M12+M14+M19+M21+M26+M28+M33+M35+M40+M42</f>
        <v>32</v>
      </c>
    </row>
    <row r="6" customFormat="false" ht="15" hidden="false" customHeight="false" outlineLevel="0" collapsed="false">
      <c r="A6" s="9" t="s">
        <v>68</v>
      </c>
      <c r="B6" s="10" t="n">
        <f aca="false">B4+B5</f>
        <v>62</v>
      </c>
      <c r="C6" s="10" t="n">
        <f aca="false">C4+C5</f>
        <v>62</v>
      </c>
      <c r="D6" s="10" t="n">
        <f aca="false">D4+D5</f>
        <v>62</v>
      </c>
      <c r="E6" s="10" t="n">
        <f aca="false">E4+E5</f>
        <v>62</v>
      </c>
      <c r="F6" s="10" t="n">
        <f aca="false">F4+F5</f>
        <v>49</v>
      </c>
      <c r="G6" s="10" t="n">
        <f aca="false">G4+G5</f>
        <v>36</v>
      </c>
      <c r="H6" s="10" t="n">
        <f aca="false">H4+H5</f>
        <v>33</v>
      </c>
      <c r="I6" s="10" t="n">
        <f aca="false">I4+I5</f>
        <v>54</v>
      </c>
      <c r="J6" s="10" t="n">
        <f aca="false">J4+J5</f>
        <v>61</v>
      </c>
      <c r="K6" s="10" t="n">
        <f aca="false">K4+K5</f>
        <v>61</v>
      </c>
      <c r="L6" s="10" t="n">
        <f aca="false">L4+L5</f>
        <v>61</v>
      </c>
      <c r="M6" s="10" t="n">
        <f aca="false">M4+M5</f>
        <v>61</v>
      </c>
    </row>
    <row r="7" customFormat="false" ht="15" hidden="false" customHeight="false" outlineLevel="0" collapsed="false">
      <c r="A7" s="11" t="s">
        <v>69</v>
      </c>
      <c r="B7" s="12" t="n">
        <f aca="false">MIN(Setup!$B$7,MAX(Setup!$B$6,Setup!$B$3*(Setup!$B$4/MAX(1,B4))^Setup!$B$5))</f>
        <v>5</v>
      </c>
      <c r="C7" s="12" t="n">
        <f aca="false">MIN(Setup!$B$7,MAX(Setup!$B$6,Setup!$B$3*(Setup!$B$4/MAX(1,C4))^Setup!$B$5))</f>
        <v>5</v>
      </c>
      <c r="D7" s="12" t="n">
        <f aca="false">MIN(Setup!$B$7,MAX(Setup!$B$6,Setup!$B$3*(Setup!$B$4/MAX(1,D4))^Setup!$B$5))</f>
        <v>5</v>
      </c>
      <c r="E7" s="12" t="n">
        <f aca="false">MIN(Setup!$B$7,MAX(Setup!$B$6,Setup!$B$3*(Setup!$B$4/MAX(1,E4))^Setup!$B$5))</f>
        <v>5</v>
      </c>
      <c r="F7" s="12" t="n">
        <f aca="false">MIN(Setup!$B$7,MAX(Setup!$B$6,Setup!$B$3*(Setup!$B$4/MAX(1,F4))^Setup!$B$5))</f>
        <v>7.03029265919242</v>
      </c>
      <c r="G7" s="12" t="n">
        <f aca="false">MIN(Setup!$B$7,MAX(Setup!$B$6,Setup!$B$3*(Setup!$B$4/MAX(1,G4))^Setup!$B$5))</f>
        <v>16.7496895665571</v>
      </c>
      <c r="H7" s="12" t="n">
        <f aca="false">MIN(Setup!$B$7,MAX(Setup!$B$6,Setup!$B$3*(Setup!$B$4/MAX(1,H4))^Setup!$B$5))</f>
        <v>38.4806817036304</v>
      </c>
      <c r="I7" s="12" t="n">
        <f aca="false">MIN(Setup!$B$7,MAX(Setup!$B$6,Setup!$B$3*(Setup!$B$4/MAX(1,I4))^Setup!$B$5))</f>
        <v>16.7496895665571</v>
      </c>
      <c r="J7" s="12" t="n">
        <f aca="false">MIN(Setup!$B$7,MAX(Setup!$B$6,Setup!$B$3*(Setup!$B$4/MAX(1,J4))^Setup!$B$5))</f>
        <v>5.10274608796543</v>
      </c>
      <c r="K7" s="12" t="n">
        <f aca="false">MIN(Setup!$B$7,MAX(Setup!$B$6,Setup!$B$3*(Setup!$B$4/MAX(1,K4))^Setup!$B$5))</f>
        <v>5.10274608796543</v>
      </c>
      <c r="L7" s="12" t="n">
        <f aca="false">MIN(Setup!$B$7,MAX(Setup!$B$6,Setup!$B$3*(Setup!$B$4/MAX(1,L4))^Setup!$B$5))</f>
        <v>5.10274608796543</v>
      </c>
      <c r="M7" s="12" t="n">
        <f aca="false">MIN(Setup!$B$7,MAX(Setup!$B$6,Setup!$B$3*(Setup!$B$4/MAX(1,M4))^Setup!$B$5))</f>
        <v>5.10274608796543</v>
      </c>
    </row>
    <row r="8" customFormat="false" ht="15" hidden="false" customHeight="false" outlineLevel="0" collapsed="false">
      <c r="A8" s="9" t="s">
        <v>70</v>
      </c>
      <c r="B8" s="10" t="n">
        <f aca="false">B13+B20+B27+B34+B41</f>
        <v>32</v>
      </c>
      <c r="C8" s="10" t="n">
        <f aca="false">C13+C20+C27+C34+C41</f>
        <v>32</v>
      </c>
      <c r="D8" s="10" t="n">
        <f aca="false">D13+D20+D27+D34+D41</f>
        <v>32</v>
      </c>
      <c r="E8" s="10" t="n">
        <f aca="false">E13+E20+E27+E34+E41</f>
        <v>45</v>
      </c>
      <c r="F8" s="10" t="n">
        <f aca="false">F13+F20+F27+F34+F41</f>
        <v>45</v>
      </c>
      <c r="G8" s="10" t="n">
        <f aca="false">G13+G20+G27+G34+G41</f>
        <v>35</v>
      </c>
      <c r="H8" s="10" t="n">
        <f aca="false">H13+H20+H27+H34+H41</f>
        <v>29</v>
      </c>
      <c r="I8" s="10" t="n">
        <f aca="false">I13+I20+I27+I34+I41</f>
        <v>25</v>
      </c>
      <c r="J8" s="10" t="n">
        <f aca="false">J13+J20+J27+J34+J41</f>
        <v>32</v>
      </c>
      <c r="K8" s="10" t="n">
        <f aca="false">K13+K20+K27+K34+K41</f>
        <v>32</v>
      </c>
      <c r="L8" s="10" t="n">
        <f aca="false">L13+L20+L27+L34+L41</f>
        <v>32</v>
      </c>
      <c r="M8" s="10" t="n">
        <f aca="false">M13+M20+M27+M34+M41</f>
        <v>32</v>
      </c>
    </row>
    <row r="9" customFormat="false" ht="15" hidden="false" customHeight="false" outlineLevel="0" collapsed="false">
      <c r="A9" s="9" t="s">
        <v>71</v>
      </c>
      <c r="B9" s="10" t="n">
        <f aca="false">B6-B8</f>
        <v>30</v>
      </c>
      <c r="C9" s="10" t="n">
        <f aca="false">C6-C8</f>
        <v>30</v>
      </c>
      <c r="D9" s="10" t="n">
        <f aca="false">D6-D8</f>
        <v>30</v>
      </c>
      <c r="E9" s="10" t="n">
        <f aca="false">E6-E8</f>
        <v>17</v>
      </c>
      <c r="F9" s="10" t="n">
        <f aca="false">F6-F8</f>
        <v>4</v>
      </c>
      <c r="G9" s="10" t="n">
        <f aca="false">G6-G8</f>
        <v>1</v>
      </c>
      <c r="H9" s="10" t="n">
        <f aca="false">H6-H8</f>
        <v>4</v>
      </c>
      <c r="I9" s="10" t="n">
        <f aca="false">I6-I8</f>
        <v>29</v>
      </c>
      <c r="J9" s="10" t="n">
        <f aca="false">J6-J8</f>
        <v>29</v>
      </c>
      <c r="K9" s="10" t="n">
        <f aca="false">K6-K8</f>
        <v>29</v>
      </c>
      <c r="L9" s="10" t="n">
        <f aca="false">L6-L8</f>
        <v>29</v>
      </c>
      <c r="M9" s="10" t="n">
        <f aca="false">M6-M8</f>
        <v>29</v>
      </c>
    </row>
    <row r="10" customFormat="false" ht="15" hidden="false" customHeight="false" outlineLevel="0" collapsed="false">
      <c r="A10" s="9" t="s">
        <v>72</v>
      </c>
      <c r="B10" s="13" t="str">
        <f aca="false">IF(B8&gt;B6,"OVER","ok")</f>
        <v>ok</v>
      </c>
      <c r="C10" s="13" t="str">
        <f aca="false">IF(C8&gt;C6,"OVER","ok")</f>
        <v>ok</v>
      </c>
      <c r="D10" s="13" t="str">
        <f aca="false">IF(D8&gt;D6,"OVER","ok")</f>
        <v>ok</v>
      </c>
      <c r="E10" s="13" t="str">
        <f aca="false">IF(E8&gt;E6,"OVER","ok")</f>
        <v>ok</v>
      </c>
      <c r="F10" s="13" t="str">
        <f aca="false">IF(F8&gt;F6,"OVER","ok")</f>
        <v>ok</v>
      </c>
      <c r="G10" s="13" t="str">
        <f aca="false">IF(G8&gt;G6,"OVER","ok")</f>
        <v>ok</v>
      </c>
      <c r="H10" s="13" t="str">
        <f aca="false">IF(H8&gt;H6,"OVER","ok")</f>
        <v>ok</v>
      </c>
      <c r="I10" s="13" t="str">
        <f aca="false">IF(I8&gt;I6,"OVER","ok")</f>
        <v>ok</v>
      </c>
      <c r="J10" s="13" t="str">
        <f aca="false">IF(J8&gt;J6,"OVER","ok")</f>
        <v>ok</v>
      </c>
      <c r="K10" s="13" t="str">
        <f aca="false">IF(K8&gt;K6,"OVER","ok")</f>
        <v>ok</v>
      </c>
      <c r="L10" s="13" t="str">
        <f aca="false">IF(L8&gt;L6,"OVER","ok")</f>
        <v>ok</v>
      </c>
      <c r="M10" s="13" t="str">
        <f aca="false">IF(M8&gt;M6,"OVER","ok")</f>
        <v>ok</v>
      </c>
    </row>
    <row r="12" customFormat="false" ht="15" hidden="false" customHeight="false" outlineLevel="0" collapsed="false">
      <c r="A12" s="14" t="s">
        <v>73</v>
      </c>
      <c r="B12" s="6" t="n">
        <v>24</v>
      </c>
      <c r="C12" s="6" t="n">
        <v>24</v>
      </c>
      <c r="D12" s="6" t="n">
        <v>24</v>
      </c>
      <c r="E12" s="6" t="n">
        <v>24</v>
      </c>
      <c r="F12" s="6" t="n">
        <v>24</v>
      </c>
      <c r="G12" s="6" t="n">
        <v>24</v>
      </c>
      <c r="H12" s="6" t="n">
        <v>24</v>
      </c>
      <c r="I12" s="6" t="n">
        <v>24</v>
      </c>
      <c r="J12" s="6" t="n">
        <v>24</v>
      </c>
      <c r="K12" s="6" t="n">
        <v>24</v>
      </c>
      <c r="L12" s="6" t="n">
        <v>24</v>
      </c>
      <c r="M12" s="6" t="n">
        <v>24</v>
      </c>
    </row>
    <row r="13" customFormat="false" ht="15" hidden="false" customHeight="false" outlineLevel="0" collapsed="false">
      <c r="A13" s="15" t="s">
        <v>74</v>
      </c>
      <c r="B13" s="6" t="n">
        <v>8</v>
      </c>
      <c r="C13" s="6" t="n">
        <v>8</v>
      </c>
      <c r="D13" s="6" t="n">
        <v>8</v>
      </c>
      <c r="E13" s="6" t="n">
        <v>8</v>
      </c>
      <c r="F13" s="6" t="n">
        <v>8</v>
      </c>
      <c r="G13" s="6" t="n">
        <v>8</v>
      </c>
      <c r="H13" s="6" t="n">
        <v>8</v>
      </c>
      <c r="I13" s="6" t="n">
        <v>8</v>
      </c>
      <c r="J13" s="6" t="n">
        <v>8</v>
      </c>
      <c r="K13" s="6" t="n">
        <v>8</v>
      </c>
      <c r="L13" s="6" t="n">
        <v>8</v>
      </c>
      <c r="M13" s="6" t="n">
        <v>8</v>
      </c>
    </row>
    <row r="14" customFormat="false" ht="15" hidden="false" customHeight="false" outlineLevel="0" collapsed="false">
      <c r="A14" s="15" t="s">
        <v>75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 customFormat="false" ht="15" hidden="false" customHeight="false" outlineLevel="0" collapsed="false">
      <c r="A15" s="15" t="s">
        <v>76</v>
      </c>
      <c r="B15" s="16" t="n">
        <f aca="false">Setup!$E$12+Setup!$B$8-B13*B7+(B12+B14)*B7</f>
        <v>300</v>
      </c>
      <c r="C15" s="16" t="n">
        <f aca="false">B15+Setup!$B$8-C13*C7+(C12+C14)*C7</f>
        <v>480</v>
      </c>
      <c r="D15" s="16" t="n">
        <f aca="false">C15+Setup!$B$8-D13*D7+(D12+D14)*D7</f>
        <v>660</v>
      </c>
      <c r="E15" s="16" t="n">
        <f aca="false">D15+Setup!$B$8-E13*E7+(E12+E14)*E7</f>
        <v>840</v>
      </c>
      <c r="F15" s="16" t="n">
        <f aca="false">E15+Setup!$B$8-F13*F7+(F12+F14)*F7</f>
        <v>1052.48468254708</v>
      </c>
      <c r="G15" s="16" t="n">
        <f aca="false">F15+Setup!$B$8-G13*G7+(G12+G14)*G7</f>
        <v>1420.47971561199</v>
      </c>
      <c r="H15" s="16" t="n">
        <f aca="false">G15+Setup!$B$8-H13*H7+(H12+H14)*H7</f>
        <v>2136.17062287008</v>
      </c>
      <c r="I15" s="16" t="n">
        <f aca="false">H15+Setup!$B$8-I13*I7+(I12+I14)*I7</f>
        <v>2504.16565593499</v>
      </c>
      <c r="J15" s="16" t="n">
        <f aca="false">I15+Setup!$B$8-J13*J7+(J12+J14)*J7</f>
        <v>2685.80959334244</v>
      </c>
      <c r="K15" s="16" t="n">
        <f aca="false">J15+Setup!$B$8-K13*K7+(K12+K14)*K7</f>
        <v>2867.45353074989</v>
      </c>
      <c r="L15" s="16" t="n">
        <f aca="false">K15+Setup!$B$8-L13*L7+(L12+L14)*L7</f>
        <v>3049.09746815733</v>
      </c>
      <c r="M15" s="16" t="n">
        <f aca="false">L15+Setup!$B$8-M13*M7+(M12+M14)*M7</f>
        <v>3230.74140556478</v>
      </c>
    </row>
    <row r="16" customFormat="false" ht="15" hidden="false" customHeight="false" outlineLevel="0" collapsed="false">
      <c r="A16" s="15" t="s">
        <v>77</v>
      </c>
      <c r="B16" s="17" t="n">
        <f aca="false">MAX(0,Setup!$F$12+B13-Setup!$C$12-B14)</f>
        <v>0</v>
      </c>
      <c r="C16" s="17" t="n">
        <f aca="false">MAX(0,B16+C13-Setup!$C$12-C14)</f>
        <v>0</v>
      </c>
      <c r="D16" s="17" t="n">
        <f aca="false">MAX(0,C16+D13-Setup!$C$12-D14)</f>
        <v>0</v>
      </c>
      <c r="E16" s="17" t="n">
        <f aca="false">MAX(0,D16+E13-Setup!$C$12-E14)</f>
        <v>0</v>
      </c>
      <c r="F16" s="17" t="n">
        <f aca="false">MAX(0,E16+F13-Setup!$C$12-F14)</f>
        <v>0</v>
      </c>
      <c r="G16" s="17" t="n">
        <f aca="false">MAX(0,F16+G13-Setup!$C$12-G14)</f>
        <v>0</v>
      </c>
      <c r="H16" s="17" t="n">
        <f aca="false">MAX(0,G16+H13-Setup!$C$12-H14)</f>
        <v>0</v>
      </c>
      <c r="I16" s="17" t="n">
        <f aca="false">MAX(0,H16+I13-Setup!$C$12-I14)</f>
        <v>0</v>
      </c>
      <c r="J16" s="17" t="n">
        <f aca="false">MAX(0,I16+J13-Setup!$C$12-J14)</f>
        <v>0</v>
      </c>
      <c r="K16" s="17" t="n">
        <f aca="false">MAX(0,J16+K13-Setup!$C$12-K14)</f>
        <v>0</v>
      </c>
      <c r="L16" s="17" t="n">
        <f aca="false">MAX(0,K16+L13-Setup!$C$12-L14)</f>
        <v>0</v>
      </c>
      <c r="M16" s="17" t="n">
        <f aca="false">MAX(0,L16+M13-Setup!$C$12-M14)</f>
        <v>0</v>
      </c>
    </row>
    <row r="17" customFormat="false" ht="15" hidden="false" customHeight="false" outlineLevel="0" collapsed="false">
      <c r="A17" s="15" t="s">
        <v>78</v>
      </c>
      <c r="B17" s="17" t="n">
        <f aca="false">MAX(0,Setup!$C$12+B14-Setup!$F$12-B13)</f>
        <v>0</v>
      </c>
      <c r="C17" s="17" t="n">
        <f aca="false">MAX(0,Setup!$C$12+C14-B16-C13)</f>
        <v>0</v>
      </c>
      <c r="D17" s="17" t="n">
        <f aca="false">MAX(0,Setup!$C$12+D14-C16-D13)</f>
        <v>0</v>
      </c>
      <c r="E17" s="17" t="n">
        <f aca="false">MAX(0,Setup!$C$12+E14-D16-E13)</f>
        <v>0</v>
      </c>
      <c r="F17" s="17" t="n">
        <f aca="false">MAX(0,Setup!$C$12+F14-E16-F13)</f>
        <v>0</v>
      </c>
      <c r="G17" s="17" t="n">
        <f aca="false">MAX(0,Setup!$C$12+G14-F16-G13)</f>
        <v>0</v>
      </c>
      <c r="H17" s="17" t="n">
        <f aca="false">MAX(0,Setup!$C$12+H14-G16-H13)</f>
        <v>0</v>
      </c>
      <c r="I17" s="17" t="n">
        <f aca="false">MAX(0,Setup!$C$12+I14-H16-I13)</f>
        <v>0</v>
      </c>
      <c r="J17" s="17" t="n">
        <f aca="false">MAX(0,Setup!$C$12+J14-I16-J13)</f>
        <v>0</v>
      </c>
      <c r="K17" s="17" t="n">
        <f aca="false">MAX(0,Setup!$C$12+K14-J16-K13)</f>
        <v>0</v>
      </c>
      <c r="L17" s="17" t="n">
        <f aca="false">MAX(0,Setup!$C$12+L14-K16-L13)</f>
        <v>0</v>
      </c>
      <c r="M17" s="17" t="n">
        <f aca="false">MAX(0,Setup!$C$12+M14-L16-M13)</f>
        <v>0</v>
      </c>
    </row>
    <row r="19" customFormat="false" ht="15" hidden="false" customHeight="false" outlineLevel="0" collapsed="false">
      <c r="A19" s="18" t="s">
        <v>79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customFormat="false" ht="15" hidden="false" customHeight="false" outlineLevel="0" collapsed="false">
      <c r="A20" s="19" t="s">
        <v>74</v>
      </c>
      <c r="B20" s="6" t="n">
        <v>5</v>
      </c>
      <c r="C20" s="6" t="n">
        <v>5</v>
      </c>
      <c r="D20" s="6" t="n">
        <v>5</v>
      </c>
      <c r="E20" s="6" t="n">
        <v>18</v>
      </c>
      <c r="F20" s="6" t="n">
        <v>18</v>
      </c>
      <c r="G20" s="6" t="n">
        <v>12</v>
      </c>
      <c r="H20" s="6" t="n">
        <v>8</v>
      </c>
      <c r="I20" s="6" t="n">
        <v>0</v>
      </c>
      <c r="J20" s="6" t="n">
        <v>5</v>
      </c>
      <c r="K20" s="6" t="n">
        <v>5</v>
      </c>
      <c r="L20" s="6" t="n">
        <v>5</v>
      </c>
      <c r="M20" s="6" t="n">
        <v>5</v>
      </c>
    </row>
    <row r="21" customFormat="false" ht="15" hidden="false" customHeight="false" outlineLevel="0" collapsed="false">
      <c r="A21" s="19" t="s">
        <v>75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18</v>
      </c>
      <c r="J21" s="6" t="n">
        <v>0</v>
      </c>
      <c r="K21" s="6" t="n">
        <v>0</v>
      </c>
      <c r="L21" s="6" t="n">
        <v>0</v>
      </c>
      <c r="M21" s="6" t="n">
        <v>0</v>
      </c>
    </row>
    <row r="22" customFormat="false" ht="15" hidden="false" customHeight="false" outlineLevel="0" collapsed="false">
      <c r="A22" s="19" t="s">
        <v>76</v>
      </c>
      <c r="B22" s="16" t="n">
        <f aca="false">Setup!$E$13+Setup!$B$8-B20*B7+(B19+B21)*B7</f>
        <v>325</v>
      </c>
      <c r="C22" s="16" t="n">
        <f aca="false">B22+Setup!$B$8-C20*C7+(C19+C21)*C7</f>
        <v>400</v>
      </c>
      <c r="D22" s="16" t="n">
        <f aca="false">C22+Setup!$B$8-D20*D7+(D19+D21)*D7</f>
        <v>475</v>
      </c>
      <c r="E22" s="16" t="n">
        <f aca="false">D22+Setup!$B$8-E20*E7+(E19+E21)*E7</f>
        <v>485</v>
      </c>
      <c r="F22" s="16" t="n">
        <f aca="false">E22+Setup!$B$8-F20*F7+(F19+F21)*F7</f>
        <v>458.454732134536</v>
      </c>
      <c r="G22" s="16" t="n">
        <f aca="false">F22+Setup!$B$8-G20*G7+(G19+G21)*G7</f>
        <v>357.458457335851</v>
      </c>
      <c r="H22" s="16" t="n">
        <f aca="false">G22+Setup!$B$8-H20*H7+(H19+H21)*H7</f>
        <v>149.613003706808</v>
      </c>
      <c r="I22" s="16" t="n">
        <f aca="false">H22+Setup!$B$8-I20*I7+(I19+I21)*I7</f>
        <v>551.107415904836</v>
      </c>
      <c r="J22" s="16" t="n">
        <f aca="false">I22+Setup!$B$8-J20*J7+(J19+J21)*J7</f>
        <v>625.593685465009</v>
      </c>
      <c r="K22" s="16" t="n">
        <f aca="false">J22+Setup!$B$8-K20*K7+(K19+K21)*K7</f>
        <v>700.079955025182</v>
      </c>
      <c r="L22" s="16" t="n">
        <f aca="false">K22+Setup!$B$8-L20*L7+(L19+L21)*L7</f>
        <v>774.566224585355</v>
      </c>
      <c r="M22" s="16" t="n">
        <f aca="false">L22+Setup!$B$8-M20*M7+(M19+M21)*M7</f>
        <v>849.052494145528</v>
      </c>
    </row>
    <row r="23" customFormat="false" ht="15" hidden="false" customHeight="false" outlineLevel="0" collapsed="false">
      <c r="A23" s="19" t="s">
        <v>77</v>
      </c>
      <c r="B23" s="17" t="n">
        <f aca="false">MAX(0,Setup!$F$13+B20-Setup!$C$13-B21)</f>
        <v>0</v>
      </c>
      <c r="C23" s="17" t="n">
        <f aca="false">MAX(0,B23+C20-Setup!$C$13-C21)</f>
        <v>0</v>
      </c>
      <c r="D23" s="17" t="n">
        <f aca="false">MAX(0,C23+D20-Setup!$C$13-D21)</f>
        <v>0</v>
      </c>
      <c r="E23" s="17" t="n">
        <f aca="false">MAX(0,D23+E20-Setup!$C$13-E21)</f>
        <v>13</v>
      </c>
      <c r="F23" s="17" t="n">
        <f aca="false">MAX(0,E23+F20-Setup!$C$13-F21)</f>
        <v>26</v>
      </c>
      <c r="G23" s="17" t="n">
        <f aca="false">MAX(0,F23+G20-Setup!$C$13-G21)</f>
        <v>33</v>
      </c>
      <c r="H23" s="17" t="n">
        <f aca="false">MAX(0,G23+H20-Setup!$C$13-H21)</f>
        <v>36</v>
      </c>
      <c r="I23" s="17" t="n">
        <f aca="false">MAX(0,H23+I20-Setup!$C$13-I21)</f>
        <v>13</v>
      </c>
      <c r="J23" s="17" t="n">
        <f aca="false">MAX(0,I23+J20-Setup!$C$13-J21)</f>
        <v>13</v>
      </c>
      <c r="K23" s="17" t="n">
        <f aca="false">MAX(0,J23+K20-Setup!$C$13-K21)</f>
        <v>13</v>
      </c>
      <c r="L23" s="17" t="n">
        <f aca="false">MAX(0,K23+L20-Setup!$C$13-L21)</f>
        <v>13</v>
      </c>
      <c r="M23" s="17" t="n">
        <f aca="false">MAX(0,L23+M20-Setup!$C$13-M21)</f>
        <v>13</v>
      </c>
    </row>
    <row r="24" customFormat="false" ht="15" hidden="false" customHeight="false" outlineLevel="0" collapsed="false">
      <c r="A24" s="19" t="s">
        <v>78</v>
      </c>
      <c r="B24" s="17" t="n">
        <f aca="false">MAX(0,Setup!$C$13+B21-Setup!$F$13-B20)</f>
        <v>0</v>
      </c>
      <c r="C24" s="17" t="n">
        <f aca="false">MAX(0,Setup!$C$13+C21-B23-C20)</f>
        <v>0</v>
      </c>
      <c r="D24" s="17" t="n">
        <f aca="false">MAX(0,Setup!$C$13+D21-C23-D20)</f>
        <v>0</v>
      </c>
      <c r="E24" s="17" t="n">
        <f aca="false">MAX(0,Setup!$C$13+E21-D23-E20)</f>
        <v>0</v>
      </c>
      <c r="F24" s="17" t="n">
        <f aca="false">MAX(0,Setup!$C$13+F21-E23-F20)</f>
        <v>0</v>
      </c>
      <c r="G24" s="17" t="n">
        <f aca="false">MAX(0,Setup!$C$13+G21-F23-G20)</f>
        <v>0</v>
      </c>
      <c r="H24" s="17" t="n">
        <f aca="false">MAX(0,Setup!$C$13+H21-G23-H20)</f>
        <v>0</v>
      </c>
      <c r="I24" s="17" t="n">
        <f aca="false">MAX(0,Setup!$C$13+I21-H23-I20)</f>
        <v>0</v>
      </c>
      <c r="J24" s="17" t="n">
        <f aca="false">MAX(0,Setup!$C$13+J21-I23-J20)</f>
        <v>0</v>
      </c>
      <c r="K24" s="17" t="n">
        <f aca="false">MAX(0,Setup!$C$13+K21-J23-K20)</f>
        <v>0</v>
      </c>
      <c r="L24" s="17" t="n">
        <f aca="false">MAX(0,Setup!$C$13+L21-K23-L20)</f>
        <v>0</v>
      </c>
      <c r="M24" s="17" t="n">
        <f aca="false">MAX(0,Setup!$C$13+M21-L23-M20)</f>
        <v>0</v>
      </c>
    </row>
    <row r="26" customFormat="false" ht="15" hidden="false" customHeight="false" outlineLevel="0" collapsed="false">
      <c r="A26" s="20" t="s">
        <v>80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</row>
    <row r="27" customFormat="false" ht="15" hidden="false" customHeight="false" outlineLevel="0" collapsed="false">
      <c r="A27" s="21" t="s">
        <v>74</v>
      </c>
      <c r="B27" s="6" t="n">
        <v>4</v>
      </c>
      <c r="C27" s="6" t="n">
        <v>4</v>
      </c>
      <c r="D27" s="6" t="n">
        <v>4</v>
      </c>
      <c r="E27" s="6" t="n">
        <v>4</v>
      </c>
      <c r="F27" s="6" t="n">
        <v>4</v>
      </c>
      <c r="G27" s="6" t="n">
        <v>6</v>
      </c>
      <c r="H27" s="6" t="n">
        <v>6</v>
      </c>
      <c r="I27" s="6" t="n">
        <v>4</v>
      </c>
      <c r="J27" s="6" t="n">
        <v>4</v>
      </c>
      <c r="K27" s="6" t="n">
        <v>4</v>
      </c>
      <c r="L27" s="6" t="n">
        <v>4</v>
      </c>
      <c r="M27" s="6" t="n">
        <v>4</v>
      </c>
    </row>
    <row r="28" customFormat="false" ht="15" hidden="false" customHeight="false" outlineLevel="0" collapsed="false">
      <c r="A28" s="21" t="s">
        <v>75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</row>
    <row r="29" customFormat="false" ht="15" hidden="false" customHeight="false" outlineLevel="0" collapsed="false">
      <c r="A29" s="21" t="s">
        <v>76</v>
      </c>
      <c r="B29" s="16" t="n">
        <f aca="false">Setup!$E$14+Setup!$B$8-B27*B7+(B26+B28)*B7</f>
        <v>200</v>
      </c>
      <c r="C29" s="16" t="n">
        <f aca="false">B29+Setup!$B$8-C27*C7+(C26+C28)*C7</f>
        <v>280</v>
      </c>
      <c r="D29" s="16" t="n">
        <f aca="false">C29+Setup!$B$8-D27*D7+(D26+D28)*D7</f>
        <v>360</v>
      </c>
      <c r="E29" s="16" t="n">
        <f aca="false">D29+Setup!$B$8-E27*E7+(E26+E28)*E7</f>
        <v>440</v>
      </c>
      <c r="F29" s="16" t="n">
        <f aca="false">E29+Setup!$B$8-F27*F7+(F26+F28)*F7</f>
        <v>511.87882936323</v>
      </c>
      <c r="G29" s="16" t="n">
        <f aca="false">F29+Setup!$B$8-G27*G7+(G26+G28)*G7</f>
        <v>511.380691963887</v>
      </c>
      <c r="H29" s="16" t="n">
        <f aca="false">G29+Setup!$B$8-H27*H7+(H26+H28)*H7</f>
        <v>380.496601742105</v>
      </c>
      <c r="I29" s="16" t="n">
        <f aca="false">H29+Setup!$B$8-I27*I7+(I26+I28)*I7</f>
        <v>413.497843475877</v>
      </c>
      <c r="J29" s="16" t="n">
        <f aca="false">I29+Setup!$B$8-J27*J7+(J26+J28)*J7</f>
        <v>493.086859124015</v>
      </c>
      <c r="K29" s="16" t="n">
        <f aca="false">J29+Setup!$B$8-K27*K7+(K26+K28)*K7</f>
        <v>572.675874772153</v>
      </c>
      <c r="L29" s="16" t="n">
        <f aca="false">K29+Setup!$B$8-L27*L7+(L26+L28)*L7</f>
        <v>652.264890420292</v>
      </c>
      <c r="M29" s="16" t="n">
        <f aca="false">L29+Setup!$B$8-M27*M7+(M26+M28)*M7</f>
        <v>731.85390606843</v>
      </c>
    </row>
    <row r="30" customFormat="false" ht="15" hidden="false" customHeight="false" outlineLevel="0" collapsed="false">
      <c r="A30" s="21" t="s">
        <v>77</v>
      </c>
      <c r="B30" s="17" t="n">
        <f aca="false">MAX(0,Setup!$F$14+B27-Setup!$C$14-B28)</f>
        <v>0</v>
      </c>
      <c r="C30" s="17" t="n">
        <f aca="false">MAX(0,B30+C27-Setup!$C$14-C28)</f>
        <v>0</v>
      </c>
      <c r="D30" s="17" t="n">
        <f aca="false">MAX(0,C30+D27-Setup!$C$14-D28)</f>
        <v>0</v>
      </c>
      <c r="E30" s="17" t="n">
        <f aca="false">MAX(0,D30+E27-Setup!$C$14-E28)</f>
        <v>0</v>
      </c>
      <c r="F30" s="17" t="n">
        <f aca="false">MAX(0,E30+F27-Setup!$C$14-F28)</f>
        <v>0</v>
      </c>
      <c r="G30" s="17" t="n">
        <f aca="false">MAX(0,F30+G27-Setup!$C$14-G28)</f>
        <v>2</v>
      </c>
      <c r="H30" s="17" t="n">
        <f aca="false">MAX(0,G30+H27-Setup!$C$14-H28)</f>
        <v>4</v>
      </c>
      <c r="I30" s="17" t="n">
        <f aca="false">MAX(0,H30+I27-Setup!$C$14-I28)</f>
        <v>4</v>
      </c>
      <c r="J30" s="17" t="n">
        <f aca="false">MAX(0,I30+J27-Setup!$C$14-J28)</f>
        <v>4</v>
      </c>
      <c r="K30" s="17" t="n">
        <f aca="false">MAX(0,J30+K27-Setup!$C$14-K28)</f>
        <v>4</v>
      </c>
      <c r="L30" s="17" t="n">
        <f aca="false">MAX(0,K30+L27-Setup!$C$14-L28)</f>
        <v>4</v>
      </c>
      <c r="M30" s="17" t="n">
        <f aca="false">MAX(0,L30+M27-Setup!$C$14-M28)</f>
        <v>4</v>
      </c>
    </row>
    <row r="31" customFormat="false" ht="15" hidden="false" customHeight="false" outlineLevel="0" collapsed="false">
      <c r="A31" s="21" t="s">
        <v>78</v>
      </c>
      <c r="B31" s="17" t="n">
        <f aca="false">MAX(0,Setup!$C$14+B28-Setup!$F$14-B27)</f>
        <v>0</v>
      </c>
      <c r="C31" s="17" t="n">
        <f aca="false">MAX(0,Setup!$C$14+C28-B30-C27)</f>
        <v>0</v>
      </c>
      <c r="D31" s="17" t="n">
        <f aca="false">MAX(0,Setup!$C$14+D28-C30-D27)</f>
        <v>0</v>
      </c>
      <c r="E31" s="17" t="n">
        <f aca="false">MAX(0,Setup!$C$14+E28-D30-E27)</f>
        <v>0</v>
      </c>
      <c r="F31" s="17" t="n">
        <f aca="false">MAX(0,Setup!$C$14+F28-E30-F27)</f>
        <v>0</v>
      </c>
      <c r="G31" s="17" t="n">
        <f aca="false">MAX(0,Setup!$C$14+G28-F30-G27)</f>
        <v>0</v>
      </c>
      <c r="H31" s="17" t="n">
        <f aca="false">MAX(0,Setup!$C$14+H28-G30-H27)</f>
        <v>0</v>
      </c>
      <c r="I31" s="17" t="n">
        <f aca="false">MAX(0,Setup!$C$14+I28-H30-I27)</f>
        <v>0</v>
      </c>
      <c r="J31" s="17" t="n">
        <f aca="false">MAX(0,Setup!$C$14+J28-I30-J27)</f>
        <v>0</v>
      </c>
      <c r="K31" s="17" t="n">
        <f aca="false">MAX(0,Setup!$C$14+K28-J30-K27)</f>
        <v>0</v>
      </c>
      <c r="L31" s="17" t="n">
        <f aca="false">MAX(0,Setup!$C$14+L28-K30-L27)</f>
        <v>0</v>
      </c>
      <c r="M31" s="17" t="n">
        <f aca="false">MAX(0,Setup!$C$14+M28-L30-M27)</f>
        <v>0</v>
      </c>
    </row>
    <row r="33" customFormat="false" ht="15" hidden="false" customHeight="false" outlineLevel="0" collapsed="false">
      <c r="A33" s="22" t="s">
        <v>81</v>
      </c>
      <c r="B33" s="6" t="n">
        <v>5</v>
      </c>
      <c r="C33" s="6" t="n">
        <v>5</v>
      </c>
      <c r="D33" s="6" t="n">
        <v>5</v>
      </c>
      <c r="E33" s="6" t="n">
        <v>5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</row>
    <row r="34" customFormat="false" ht="15" hidden="false" customHeight="false" outlineLevel="0" collapsed="false">
      <c r="A34" s="23" t="s">
        <v>74</v>
      </c>
      <c r="B34" s="6" t="n">
        <v>12</v>
      </c>
      <c r="C34" s="6" t="n">
        <v>12</v>
      </c>
      <c r="D34" s="6" t="n">
        <v>12</v>
      </c>
      <c r="E34" s="6" t="n">
        <v>12</v>
      </c>
      <c r="F34" s="6" t="n">
        <v>12</v>
      </c>
      <c r="G34" s="6" t="n">
        <v>6</v>
      </c>
      <c r="H34" s="6" t="n">
        <v>5</v>
      </c>
      <c r="I34" s="6" t="n">
        <v>10</v>
      </c>
      <c r="J34" s="6" t="n">
        <v>12</v>
      </c>
      <c r="K34" s="6" t="n">
        <v>12</v>
      </c>
      <c r="L34" s="6" t="n">
        <v>12</v>
      </c>
      <c r="M34" s="6" t="n">
        <v>12</v>
      </c>
    </row>
    <row r="35" customFormat="false" ht="15" hidden="false" customHeight="false" outlineLevel="0" collapsed="false">
      <c r="A35" s="23" t="s">
        <v>75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</row>
    <row r="36" customFormat="false" ht="15" hidden="false" customHeight="false" outlineLevel="0" collapsed="false">
      <c r="A36" s="23" t="s">
        <v>76</v>
      </c>
      <c r="B36" s="16" t="n">
        <f aca="false">Setup!$E$15+Setup!$B$8-B34*B7+(B33+B35)*B7</f>
        <v>165</v>
      </c>
      <c r="C36" s="16" t="n">
        <f aca="false">B36+Setup!$B$8-C34*C7+(C33+C35)*C7</f>
        <v>230</v>
      </c>
      <c r="D36" s="16" t="n">
        <f aca="false">C36+Setup!$B$8-D34*D7+(D33+D35)*D7</f>
        <v>295</v>
      </c>
      <c r="E36" s="16" t="n">
        <f aca="false">D36+Setup!$B$8-E34*E7+(E33+E35)*E7</f>
        <v>360</v>
      </c>
      <c r="F36" s="16" t="n">
        <f aca="false">E36+Setup!$B$8-F34*F7+(F33+F35)*F7</f>
        <v>410.787951385653</v>
      </c>
      <c r="G36" s="16" t="n">
        <f aca="false">F36+Setup!$B$8-G34*G7+(G33+G35)*G7</f>
        <v>494.038261819096</v>
      </c>
      <c r="H36" s="16" t="n">
        <f aca="false">G36+Setup!$B$8-H34*H7+(H33+H35)*H7</f>
        <v>594.038261819096</v>
      </c>
      <c r="I36" s="16" t="n">
        <f aca="false">H36+Setup!$B$8-I34*I7+(I33+I35)*I7</f>
        <v>610.28981398631</v>
      </c>
      <c r="J36" s="16" t="n">
        <f aca="false">I36+Setup!$B$8-J34*J7+(J33+J35)*J7</f>
        <v>674.570591370552</v>
      </c>
      <c r="K36" s="16" t="n">
        <f aca="false">J36+Setup!$B$8-K34*K7+(K33+K35)*K7</f>
        <v>738.851368754794</v>
      </c>
      <c r="L36" s="16" t="n">
        <f aca="false">K36+Setup!$B$8-L34*L7+(L33+L35)*L7</f>
        <v>803.132146139036</v>
      </c>
      <c r="M36" s="16" t="n">
        <f aca="false">L36+Setup!$B$8-M34*M7+(M33+M35)*M7</f>
        <v>867.412923523278</v>
      </c>
    </row>
    <row r="37" customFormat="false" ht="15" hidden="false" customHeight="false" outlineLevel="0" collapsed="false">
      <c r="A37" s="23" t="s">
        <v>77</v>
      </c>
      <c r="B37" s="17" t="n">
        <f aca="false">MAX(0,Setup!$F$15+B34-Setup!$C$15-B35)</f>
        <v>0</v>
      </c>
      <c r="C37" s="17" t="n">
        <f aca="false">MAX(0,B37+C34-Setup!$C$15-C35)</f>
        <v>0</v>
      </c>
      <c r="D37" s="17" t="n">
        <f aca="false">MAX(0,C37+D34-Setup!$C$15-D35)</f>
        <v>0</v>
      </c>
      <c r="E37" s="17" t="n">
        <f aca="false">MAX(0,D37+E34-Setup!$C$15-E35)</f>
        <v>0</v>
      </c>
      <c r="F37" s="17" t="n">
        <f aca="false">MAX(0,E37+F34-Setup!$C$15-F35)</f>
        <v>0</v>
      </c>
      <c r="G37" s="17" t="n">
        <f aca="false">MAX(0,F37+G34-Setup!$C$15-G35)</f>
        <v>0</v>
      </c>
      <c r="H37" s="17" t="n">
        <f aca="false">MAX(0,G37+H34-Setup!$C$15-H35)</f>
        <v>0</v>
      </c>
      <c r="I37" s="17" t="n">
        <f aca="false">MAX(0,H37+I34-Setup!$C$15-I35)</f>
        <v>0</v>
      </c>
      <c r="J37" s="17" t="n">
        <f aca="false">MAX(0,I37+J34-Setup!$C$15-J35)</f>
        <v>0</v>
      </c>
      <c r="K37" s="17" t="n">
        <f aca="false">MAX(0,J37+K34-Setup!$C$15-K35)</f>
        <v>0</v>
      </c>
      <c r="L37" s="17" t="n">
        <f aca="false">MAX(0,K37+L34-Setup!$C$15-L35)</f>
        <v>0</v>
      </c>
      <c r="M37" s="17" t="n">
        <f aca="false">MAX(0,L37+M34-Setup!$C$15-M35)</f>
        <v>0</v>
      </c>
    </row>
    <row r="38" customFormat="false" ht="15" hidden="false" customHeight="false" outlineLevel="0" collapsed="false">
      <c r="A38" s="23" t="s">
        <v>78</v>
      </c>
      <c r="B38" s="17" t="n">
        <f aca="false">MAX(0,Setup!$C$15+B35-Setup!$F$15-B34)</f>
        <v>0</v>
      </c>
      <c r="C38" s="17" t="n">
        <f aca="false">MAX(0,Setup!$C$15+C35-B37-C34)</f>
        <v>0</v>
      </c>
      <c r="D38" s="17" t="n">
        <f aca="false">MAX(0,Setup!$C$15+D35-C37-D34)</f>
        <v>0</v>
      </c>
      <c r="E38" s="17" t="n">
        <f aca="false">MAX(0,Setup!$C$15+E35-D37-E34)</f>
        <v>0</v>
      </c>
      <c r="F38" s="17" t="n">
        <f aca="false">MAX(0,Setup!$C$15+F35-E37-F34)</f>
        <v>0</v>
      </c>
      <c r="G38" s="17" t="n">
        <f aca="false">MAX(0,Setup!$C$15+G35-F37-G34)</f>
        <v>6</v>
      </c>
      <c r="H38" s="17" t="n">
        <f aca="false">MAX(0,Setup!$C$15+H35-G37-H34)</f>
        <v>7</v>
      </c>
      <c r="I38" s="17" t="n">
        <f aca="false">MAX(0,Setup!$C$15+I35-H37-I34)</f>
        <v>2</v>
      </c>
      <c r="J38" s="17" t="n">
        <f aca="false">MAX(0,Setup!$C$15+J35-I37-J34)</f>
        <v>0</v>
      </c>
      <c r="K38" s="17" t="n">
        <f aca="false">MAX(0,Setup!$C$15+K35-J37-K34)</f>
        <v>0</v>
      </c>
      <c r="L38" s="17" t="n">
        <f aca="false">MAX(0,Setup!$C$15+L35-K37-L34)</f>
        <v>0</v>
      </c>
      <c r="M38" s="17" t="n">
        <f aca="false">MAX(0,Setup!$C$15+M35-L37-M34)</f>
        <v>0</v>
      </c>
    </row>
    <row r="40" customFormat="false" ht="15" hidden="false" customHeight="false" outlineLevel="0" collapsed="false">
      <c r="A40" s="24" t="s">
        <v>82</v>
      </c>
      <c r="B40" s="6" t="n">
        <v>3</v>
      </c>
      <c r="C40" s="6" t="n">
        <v>3</v>
      </c>
      <c r="D40" s="6" t="n">
        <v>3</v>
      </c>
      <c r="E40" s="6" t="n">
        <v>3</v>
      </c>
      <c r="F40" s="6" t="n">
        <v>3</v>
      </c>
      <c r="G40" s="6" t="n">
        <v>3</v>
      </c>
      <c r="H40" s="6" t="n">
        <v>3</v>
      </c>
      <c r="I40" s="6" t="n">
        <v>3</v>
      </c>
      <c r="J40" s="6" t="n">
        <v>3</v>
      </c>
      <c r="K40" s="6" t="n">
        <v>3</v>
      </c>
      <c r="L40" s="6" t="n">
        <v>3</v>
      </c>
      <c r="M40" s="6" t="n">
        <v>3</v>
      </c>
    </row>
    <row r="41" customFormat="false" ht="15" hidden="false" customHeight="false" outlineLevel="0" collapsed="false">
      <c r="A41" s="25" t="s">
        <v>74</v>
      </c>
      <c r="B41" s="6" t="n">
        <v>3</v>
      </c>
      <c r="C41" s="6" t="n">
        <v>3</v>
      </c>
      <c r="D41" s="6" t="n">
        <v>3</v>
      </c>
      <c r="E41" s="6" t="n">
        <v>3</v>
      </c>
      <c r="F41" s="6" t="n">
        <v>3</v>
      </c>
      <c r="G41" s="6" t="n">
        <v>3</v>
      </c>
      <c r="H41" s="6" t="n">
        <v>2</v>
      </c>
      <c r="I41" s="6" t="n">
        <v>3</v>
      </c>
      <c r="J41" s="6" t="n">
        <v>3</v>
      </c>
      <c r="K41" s="6" t="n">
        <v>3</v>
      </c>
      <c r="L41" s="6" t="n">
        <v>3</v>
      </c>
      <c r="M41" s="6" t="n">
        <v>3</v>
      </c>
    </row>
    <row r="42" customFormat="false" ht="15" hidden="false" customHeight="false" outlineLevel="0" collapsed="false">
      <c r="A42" s="25" t="s">
        <v>75</v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</row>
    <row r="43" customFormat="false" ht="15" hidden="false" customHeight="false" outlineLevel="0" collapsed="false">
      <c r="A43" s="25" t="s">
        <v>76</v>
      </c>
      <c r="B43" s="16" t="n">
        <f aca="false">Setup!$E$16+Setup!$B$8-B41*B7+(B40+B42)*B7</f>
        <v>160</v>
      </c>
      <c r="C43" s="16" t="n">
        <f aca="false">B43+Setup!$B$8-C41*C7+(C40+C42)*C7</f>
        <v>260</v>
      </c>
      <c r="D43" s="16" t="n">
        <f aca="false">C43+Setup!$B$8-D41*D7+(D40+D42)*D7</f>
        <v>360</v>
      </c>
      <c r="E43" s="16" t="n">
        <f aca="false">D43+Setup!$B$8-E41*E7+(E40+E42)*E7</f>
        <v>460</v>
      </c>
      <c r="F43" s="16" t="n">
        <f aca="false">E43+Setup!$B$8-F41*F7+(F40+F42)*F7</f>
        <v>560</v>
      </c>
      <c r="G43" s="16" t="n">
        <f aca="false">F43+Setup!$B$8-G41*G7+(G40+G42)*G7</f>
        <v>660</v>
      </c>
      <c r="H43" s="16" t="n">
        <f aca="false">G43+Setup!$B$8-H41*H7+(H40+H42)*H7</f>
        <v>798.48068170363</v>
      </c>
      <c r="I43" s="16" t="n">
        <f aca="false">H43+Setup!$B$8-I41*I7+(I40+I42)*I7</f>
        <v>898.48068170363</v>
      </c>
      <c r="J43" s="16" t="n">
        <f aca="false">I43+Setup!$B$8-J41*J7+(J40+J42)*J7</f>
        <v>998.48068170363</v>
      </c>
      <c r="K43" s="16" t="n">
        <f aca="false">J43+Setup!$B$8-K41*K7+(K40+K42)*K7</f>
        <v>1098.48068170363</v>
      </c>
      <c r="L43" s="16" t="n">
        <f aca="false">K43+Setup!$B$8-L41*L7+(L40+L42)*L7</f>
        <v>1198.48068170363</v>
      </c>
      <c r="M43" s="16" t="n">
        <f aca="false">L43+Setup!$B$8-M41*M7+(M40+M42)*M7</f>
        <v>1298.48068170363</v>
      </c>
    </row>
    <row r="44" customFormat="false" ht="15" hidden="false" customHeight="false" outlineLevel="0" collapsed="false">
      <c r="A44" s="25" t="s">
        <v>77</v>
      </c>
      <c r="B44" s="17" t="n">
        <f aca="false">MAX(0,Setup!$F$16+B41-Setup!$C$16-B42)</f>
        <v>0</v>
      </c>
      <c r="C44" s="17" t="n">
        <f aca="false">MAX(0,B44+C41-Setup!$C$16-C42)</f>
        <v>0</v>
      </c>
      <c r="D44" s="17" t="n">
        <f aca="false">MAX(0,C44+D41-Setup!$C$16-D42)</f>
        <v>0</v>
      </c>
      <c r="E44" s="17" t="n">
        <f aca="false">MAX(0,D44+E41-Setup!$C$16-E42)</f>
        <v>0</v>
      </c>
      <c r="F44" s="17" t="n">
        <f aca="false">MAX(0,E44+F41-Setup!$C$16-F42)</f>
        <v>0</v>
      </c>
      <c r="G44" s="17" t="n">
        <f aca="false">MAX(0,F44+G41-Setup!$C$16-G42)</f>
        <v>0</v>
      </c>
      <c r="H44" s="17" t="n">
        <f aca="false">MAX(0,G44+H41-Setup!$C$16-H42)</f>
        <v>0</v>
      </c>
      <c r="I44" s="17" t="n">
        <f aca="false">MAX(0,H44+I41-Setup!$C$16-I42)</f>
        <v>0</v>
      </c>
      <c r="J44" s="17" t="n">
        <f aca="false">MAX(0,I44+J41-Setup!$C$16-J42)</f>
        <v>0</v>
      </c>
      <c r="K44" s="17" t="n">
        <f aca="false">MAX(0,J44+K41-Setup!$C$16-K42)</f>
        <v>0</v>
      </c>
      <c r="L44" s="17" t="n">
        <f aca="false">MAX(0,K44+L41-Setup!$C$16-L42)</f>
        <v>0</v>
      </c>
      <c r="M44" s="17" t="n">
        <f aca="false">MAX(0,L44+M41-Setup!$C$16-M42)</f>
        <v>0</v>
      </c>
    </row>
    <row r="45" customFormat="false" ht="15" hidden="false" customHeight="false" outlineLevel="0" collapsed="false">
      <c r="A45" s="25" t="s">
        <v>78</v>
      </c>
      <c r="B45" s="17" t="n">
        <f aca="false">MAX(0,Setup!$C$16+B42-Setup!$F$16-B41)</f>
        <v>0</v>
      </c>
      <c r="C45" s="17" t="n">
        <f aca="false">MAX(0,Setup!$C$16+C42-B44-C41)</f>
        <v>0</v>
      </c>
      <c r="D45" s="17" t="n">
        <f aca="false">MAX(0,Setup!$C$16+D42-C44-D41)</f>
        <v>0</v>
      </c>
      <c r="E45" s="17" t="n">
        <f aca="false">MAX(0,Setup!$C$16+E42-D44-E41)</f>
        <v>0</v>
      </c>
      <c r="F45" s="17" t="n">
        <f aca="false">MAX(0,Setup!$C$16+F42-E44-F41)</f>
        <v>0</v>
      </c>
      <c r="G45" s="17" t="n">
        <f aca="false">MAX(0,Setup!$C$16+G42-F44-G41)</f>
        <v>0</v>
      </c>
      <c r="H45" s="17" t="n">
        <f aca="false">MAX(0,Setup!$C$16+H42-G44-H41)</f>
        <v>1</v>
      </c>
      <c r="I45" s="17" t="n">
        <f aca="false">MAX(0,Setup!$C$16+I42-H44-I41)</f>
        <v>0</v>
      </c>
      <c r="J45" s="17" t="n">
        <f aca="false">MAX(0,Setup!$C$16+J42-I44-J41)</f>
        <v>0</v>
      </c>
      <c r="K45" s="17" t="n">
        <f aca="false">MAX(0,Setup!$C$16+K42-J44-K41)</f>
        <v>0</v>
      </c>
      <c r="L45" s="17" t="n">
        <f aca="false">MAX(0,Setup!$C$16+L42-K44-L41)</f>
        <v>0</v>
      </c>
      <c r="M45" s="17" t="n">
        <f aca="false">MAX(0,Setup!$C$16+M42-L44-M41)</f>
        <v>0</v>
      </c>
    </row>
  </sheetData>
  <conditionalFormatting sqref="B17:M17">
    <cfRule type="cellIs" priority="2" operator="greaterThan" aboveAverage="0" equalAverage="0" bottom="0" percent="0" rank="0" text="" dxfId="0">
      <formula>0</formula>
    </cfRule>
  </conditionalFormatting>
  <conditionalFormatting sqref="B24:M24">
    <cfRule type="cellIs" priority="3" operator="greaterThan" aboveAverage="0" equalAverage="0" bottom="0" percent="0" rank="0" text="" dxfId="0">
      <formula>0</formula>
    </cfRule>
  </conditionalFormatting>
  <conditionalFormatting sqref="B31:M31">
    <cfRule type="cellIs" priority="4" operator="greaterThan" aboveAverage="0" equalAverage="0" bottom="0" percent="0" rank="0" text="" dxfId="0">
      <formula>0</formula>
    </cfRule>
  </conditionalFormatting>
  <conditionalFormatting sqref="B38:M38">
    <cfRule type="cellIs" priority="5" operator="greaterThan" aboveAverage="0" equalAverage="0" bottom="0" percent="0" rank="0" text="" dxfId="0">
      <formula>0</formula>
    </cfRule>
  </conditionalFormatting>
  <conditionalFormatting sqref="B45:M45">
    <cfRule type="cellIs" priority="6" operator="greaterThan" aboveAverage="0" equalAverage="0" bottom="0" percent="0" rank="0" text="" dxfId="0">
      <formula>0</formula>
    </cfRule>
  </conditionalFormatting>
  <conditionalFormatting sqref="B10:M10">
    <cfRule type="cellIs" priority="7" operator="equal" aboveAverage="0" equalAverage="0" bottom="0" percent="0" rank="0" text="" dxfId="0">
      <formula>"OVER"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2026-07-12T15:25:49Z</dcterms:created>
  <dc:creator>openpyxl</dc:creator>
  <dc:description/>
  <dc:language>en-US</dc:language>
  <cp:lastModifiedBy/>
  <dcterms:modified xsi:type="dcterms:W3CDTF">2026-07-12T15:25:57Z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